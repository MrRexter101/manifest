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eview" sheetId="1" state="visible" r:id="rId1"/>
    <sheet xmlns:r="http://schemas.openxmlformats.org/officeDocument/2006/relationships" name="ROP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12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26" customWidth="1" min="21" max="21"/>
    <col width="40" customWidth="1" min="22" max="22"/>
  </cols>
  <sheetData>
    <row r="1" ht="30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Unit (case size)</t>
        </is>
      </c>
      <c r="E1" s="1" t="inlineStr">
        <is>
          <t>Unit cost THB</t>
        </is>
      </c>
      <c r="F1" s="1" t="inlineStr">
        <is>
          <t>Oct 2025</t>
        </is>
      </c>
      <c r="G1" s="1" t="inlineStr">
        <is>
          <t>Nov 2025</t>
        </is>
      </c>
      <c r="H1" s="1" t="inlineStr">
        <is>
          <t>Dec 2025</t>
        </is>
      </c>
      <c r="I1" s="1" t="inlineStr">
        <is>
          <t>Jan 2026</t>
        </is>
      </c>
      <c r="J1" s="1" t="inlineStr">
        <is>
          <t>Feb 2026</t>
        </is>
      </c>
      <c r="K1" s="1" t="inlineStr">
        <is>
          <t>Mar 2026</t>
        </is>
      </c>
      <c r="L1" s="1" t="inlineStr">
        <is>
          <t>Apr 2026</t>
        </is>
      </c>
      <c r="M1" s="1" t="inlineStr">
        <is>
          <t>May 2026</t>
        </is>
      </c>
      <c r="N1" s="1" t="inlineStr">
        <is>
          <t>Jun 2026</t>
        </is>
      </c>
      <c r="O1" s="1" t="inlineStr">
        <is>
          <t>Jul 2026</t>
        </is>
      </c>
      <c r="P1" s="1" t="inlineStr">
        <is>
          <t>Aug 2026</t>
        </is>
      </c>
      <c r="Q1" s="1" t="inlineStr">
        <is>
          <t>Sep 2026</t>
        </is>
      </c>
      <c r="R1" s="1" t="inlineStr">
        <is>
          <t>On hand</t>
        </is>
      </c>
      <c r="S1" s="1" t="inlineStr">
        <is>
          <t>On order</t>
        </is>
      </c>
      <c r="T1" s="1" t="inlineStr">
        <is>
          <t>Lead time (days)</t>
        </is>
      </c>
      <c r="U1" s="1" t="inlineStr">
        <is>
          <t>Supplier</t>
        </is>
      </c>
      <c r="V1" s="1" t="inlineStr">
        <is>
          <t>Notes</t>
        </is>
      </c>
    </row>
    <row r="2">
      <c r="A2" t="inlineStr">
        <is>
          <t>KLD-1001</t>
        </is>
      </c>
      <c r="B2" t="inlineStr">
        <is>
          <t>Drinking water</t>
        </is>
      </c>
      <c r="C2" t="inlineStr">
        <is>
          <t>Ambient</t>
        </is>
      </c>
      <c r="D2" t="inlineStr">
        <is>
          <t>600 ml × 24</t>
        </is>
      </c>
      <c r="E2" s="2" t="n">
        <v>72</v>
      </c>
      <c r="F2" s="3" t="n">
        <v>1157</v>
      </c>
      <c r="G2" s="3" t="n">
        <v>1209</v>
      </c>
      <c r="H2" s="3" t="n">
        <v>1277</v>
      </c>
      <c r="I2" s="3" t="n">
        <v>1251</v>
      </c>
      <c r="J2" s="3" t="n">
        <v>1226</v>
      </c>
      <c r="K2" s="3" t="n">
        <v>1269</v>
      </c>
      <c r="L2" s="3" t="n">
        <v>1294</v>
      </c>
      <c r="M2" s="3" t="n">
        <v>1191</v>
      </c>
      <c r="N2" s="3" t="n">
        <v>1131</v>
      </c>
      <c r="O2" s="3" t="n">
        <v>1149</v>
      </c>
      <c r="P2" s="3" t="n">
        <v>1166</v>
      </c>
      <c r="Q2" s="3" t="n">
        <v>1080</v>
      </c>
      <c r="R2" s="3" t="n">
        <v>420</v>
      </c>
      <c r="S2" s="3" t="n">
        <v>3000</v>
      </c>
      <c r="T2" t="n">
        <v>9</v>
      </c>
      <c r="U2" t="inlineStr">
        <is>
          <t>Siam Spring Water</t>
        </is>
      </c>
      <c r="V2" t="inlineStr">
        <is>
          <t>PO KLD-PO-26-1187 due 15 Oct</t>
        </is>
      </c>
    </row>
    <row r="3">
      <c r="A3" t="inlineStr">
        <is>
          <t>KLD-1012</t>
        </is>
      </c>
      <c r="B3" t="inlineStr">
        <is>
          <t>Soda water</t>
        </is>
      </c>
      <c r="C3" t="inlineStr">
        <is>
          <t>Ambient</t>
        </is>
      </c>
      <c r="D3" t="inlineStr">
        <is>
          <t>325 ml × 24</t>
        </is>
      </c>
      <c r="E3" s="2" t="n">
        <v>168</v>
      </c>
      <c r="F3" s="3" t="n">
        <v>195</v>
      </c>
      <c r="G3" s="3" t="n">
        <v>207</v>
      </c>
      <c r="H3" s="3" t="n">
        <v>232</v>
      </c>
      <c r="I3" s="3" t="n">
        <v>221</v>
      </c>
      <c r="J3" s="3" t="n">
        <v>212</v>
      </c>
      <c r="K3" s="3" t="n">
        <v>204</v>
      </c>
      <c r="L3" s="3" t="n">
        <v>210</v>
      </c>
      <c r="M3" s="3" t="n">
        <v>190</v>
      </c>
      <c r="N3" s="3" t="n">
        <v>180</v>
      </c>
      <c r="O3" s="3" t="n">
        <v>186</v>
      </c>
      <c r="P3" s="3" t="n">
        <v>193</v>
      </c>
      <c r="Q3" s="3" t="n">
        <v>183</v>
      </c>
      <c r="R3" s="3" t="n">
        <v>150</v>
      </c>
      <c r="S3" s="3" t="n">
        <v>0</v>
      </c>
      <c r="T3" t="n">
        <v>9</v>
      </c>
      <c r="U3" t="inlineStr">
        <is>
          <t>Siam Spring Water</t>
        </is>
      </c>
    </row>
    <row r="4">
      <c r="A4" t="inlineStr">
        <is>
          <t>KLD-1105</t>
        </is>
      </c>
      <c r="B4" t="inlineStr">
        <is>
          <t>Jasmine rice</t>
        </is>
      </c>
      <c r="C4" t="inlineStr">
        <is>
          <t>Ambient</t>
        </is>
      </c>
      <c r="D4" t="inlineStr">
        <is>
          <t>5 kg × 4</t>
        </is>
      </c>
      <c r="E4" s="2" t="n">
        <v>780</v>
      </c>
      <c r="F4" s="3" t="n">
        <v>455</v>
      </c>
      <c r="G4" s="3" t="n">
        <v>480</v>
      </c>
      <c r="H4" s="3" t="n">
        <v>515</v>
      </c>
      <c r="I4" s="3" t="n">
        <v>500</v>
      </c>
      <c r="J4" s="3" t="n">
        <v>484</v>
      </c>
      <c r="K4" s="3" t="n"/>
      <c r="L4" s="3" t="n">
        <v>489</v>
      </c>
      <c r="M4" s="3" t="n">
        <v>458</v>
      </c>
      <c r="N4" s="3" t="n">
        <v>441</v>
      </c>
      <c r="O4" s="3" t="n">
        <v>449</v>
      </c>
      <c r="P4" s="3" t="n">
        <v>461</v>
      </c>
      <c r="Q4" s="3" t="n">
        <v>438</v>
      </c>
      <c r="R4" s="3" t="n">
        <v>230</v>
      </c>
      <c r="S4" s="3" t="n">
        <v>0</v>
      </c>
      <c r="T4" t="n">
        <v>7</v>
      </c>
      <c r="U4" t="inlineStr">
        <is>
          <t>Golden Grain Rice Mill</t>
        </is>
      </c>
      <c r="V4" t="inlineStr">
        <is>
          <t>Mar 2026 not recorded (system outage)</t>
        </is>
      </c>
    </row>
    <row r="5">
      <c r="A5" t="inlineStr">
        <is>
          <t>KLD-1150</t>
        </is>
      </c>
      <c r="B5" t="inlineStr">
        <is>
          <t>Palm cooking oil</t>
        </is>
      </c>
      <c r="C5" t="inlineStr">
        <is>
          <t>Ambient</t>
        </is>
      </c>
      <c r="D5" t="inlineStr">
        <is>
          <t>18 L × 1</t>
        </is>
      </c>
      <c r="E5" s="2" t="n">
        <v>845</v>
      </c>
      <c r="F5" s="3" t="n">
        <v>150</v>
      </c>
      <c r="G5" s="3" t="n">
        <v>158</v>
      </c>
      <c r="H5" s="3" t="n">
        <v>176</v>
      </c>
      <c r="I5" s="3" t="n">
        <v>168</v>
      </c>
      <c r="J5" s="3" t="n">
        <v>161</v>
      </c>
      <c r="K5" s="3" t="n">
        <v>155</v>
      </c>
      <c r="L5" s="3" t="n">
        <v>164</v>
      </c>
      <c r="M5" s="3" t="n">
        <v>147</v>
      </c>
      <c r="N5" s="3" t="n">
        <v>139</v>
      </c>
      <c r="O5" s="3" t="n">
        <v>143</v>
      </c>
      <c r="P5" s="3" t="n">
        <v>149</v>
      </c>
      <c r="Q5" s="3" t="n">
        <v>141</v>
      </c>
      <c r="R5" s="3" t="n">
        <v>95</v>
      </c>
      <c r="S5" s="3" t="n">
        <v>0</v>
      </c>
      <c r="T5" t="n">
        <v>10</v>
      </c>
      <c r="U5" t="inlineStr">
        <is>
          <t>Eastern Agro Oils</t>
        </is>
      </c>
    </row>
    <row r="6">
      <c r="A6" t="inlineStr">
        <is>
          <t>KLD-1203</t>
        </is>
      </c>
      <c r="B6" t="inlineStr">
        <is>
          <t>Fish sauce</t>
        </is>
      </c>
      <c r="C6" t="inlineStr">
        <is>
          <t>Ambient</t>
        </is>
      </c>
      <c r="D6" t="inlineStr">
        <is>
          <t>700 ml × 12</t>
        </is>
      </c>
      <c r="E6" s="2" t="n">
        <v>336</v>
      </c>
      <c r="F6" s="3" t="n">
        <v>74</v>
      </c>
      <c r="G6" s="3" t="n">
        <v>78</v>
      </c>
      <c r="H6" s="3" t="n">
        <v>87</v>
      </c>
      <c r="I6" s="3" t="n">
        <v>83</v>
      </c>
      <c r="J6" s="3" t="n">
        <v>80</v>
      </c>
      <c r="K6" s="3" t="n">
        <v>77</v>
      </c>
      <c r="L6" s="3" t="n">
        <v>79</v>
      </c>
      <c r="M6" s="3" t="n">
        <v>72</v>
      </c>
      <c r="N6" s="3" t="n">
        <v>68</v>
      </c>
      <c r="O6" s="3" t="n">
        <v>70</v>
      </c>
      <c r="P6" s="3" t="n">
        <v>73</v>
      </c>
      <c r="Q6" s="3" t="n">
        <v>69</v>
      </c>
      <c r="R6" s="3" t="n">
        <v>60</v>
      </c>
      <c r="S6" s="3" t="n">
        <v>0</v>
      </c>
      <c r="T6" t="n">
        <v>7</v>
      </c>
      <c r="U6" t="inlineStr">
        <is>
          <t>Ang Sila Condiments</t>
        </is>
      </c>
    </row>
    <row r="7">
      <c r="A7" t="inlineStr">
        <is>
          <t>KLD-1402</t>
        </is>
      </c>
      <c r="B7" t="inlineStr">
        <is>
          <t>Frozen white shrimp</t>
        </is>
      </c>
      <c r="C7" t="inlineStr">
        <is>
          <t>Frozen</t>
        </is>
      </c>
      <c r="D7" t="inlineStr">
        <is>
          <t>1 kg × 10</t>
        </is>
      </c>
      <c r="E7" s="2" t="n">
        <v>2650</v>
      </c>
      <c r="F7" s="3" t="n">
        <v>360</v>
      </c>
      <c r="G7" s="3" t="n">
        <v>385</v>
      </c>
      <c r="H7" s="3" t="n">
        <v>440</v>
      </c>
      <c r="I7" s="3" t="n">
        <v>418</v>
      </c>
      <c r="J7" s="3" t="n">
        <v>396</v>
      </c>
      <c r="K7" s="3" t="n">
        <v>380</v>
      </c>
      <c r="L7" s="3" t="n">
        <v>392</v>
      </c>
      <c r="M7" s="3" t="n">
        <v>352</v>
      </c>
      <c r="N7" s="3" t="n">
        <v>336</v>
      </c>
      <c r="O7" s="3" t="n">
        <v>0</v>
      </c>
      <c r="P7" s="3" t="n">
        <v>348</v>
      </c>
      <c r="Q7" s="3" t="n">
        <v>344</v>
      </c>
      <c r="R7" s="3" t="n">
        <v>38</v>
      </c>
      <c r="S7" s="3" t="n">
        <v>0</v>
      </c>
      <c r="T7" t="n">
        <v>5</v>
      </c>
      <c r="U7" t="inlineStr">
        <is>
          <t>Gulf Coast Seafood</t>
        </is>
      </c>
      <c r="V7" t="inlineStr">
        <is>
          <t>Jul 2026 stockout (supplier quota cut); sales lost</t>
        </is>
      </c>
    </row>
    <row r="8">
      <c r="A8" t="inlineStr">
        <is>
          <t>KLD-1410</t>
        </is>
      </c>
      <c r="B8" t="inlineStr">
        <is>
          <t>Frozen chicken breast</t>
        </is>
      </c>
      <c r="C8" t="inlineStr">
        <is>
          <t>Frozen</t>
        </is>
      </c>
      <c r="D8" t="inlineStr">
        <is>
          <t>2 kg × 6</t>
        </is>
      </c>
      <c r="E8" s="2" t="n">
        <v>930</v>
      </c>
      <c r="F8" s="3" t="n">
        <v>248</v>
      </c>
      <c r="G8" s="3" t="n">
        <v>262</v>
      </c>
      <c r="H8" s="3" t="n">
        <v>296</v>
      </c>
      <c r="I8" s="3" t="n">
        <v>282</v>
      </c>
      <c r="J8" s="3" t="n">
        <v>270</v>
      </c>
      <c r="K8" s="3" t="n">
        <v>259</v>
      </c>
      <c r="L8" s="3" t="n">
        <v>267</v>
      </c>
      <c r="M8" s="3" t="n">
        <v>243</v>
      </c>
      <c r="N8" s="3" t="n">
        <v>231</v>
      </c>
      <c r="O8" s="3" t="n">
        <v>237</v>
      </c>
      <c r="P8" s="3" t="n">
        <v>246</v>
      </c>
      <c r="Q8" s="3" t="n">
        <v>235</v>
      </c>
      <c r="R8" s="3" t="n">
        <v>90</v>
      </c>
      <c r="S8" s="3" t="n">
        <v>0</v>
      </c>
      <c r="T8" t="n">
        <v>4</v>
      </c>
      <c r="U8" t="inlineStr">
        <is>
          <t>Eastern Poultry</t>
        </is>
      </c>
    </row>
    <row r="9">
      <c r="A9" t="inlineStr">
        <is>
          <t>KLD-1455</t>
        </is>
      </c>
      <c r="B9" t="inlineStr">
        <is>
          <t>Frozen french fries</t>
        </is>
      </c>
      <c r="C9" t="inlineStr">
        <is>
          <t>Frozen</t>
        </is>
      </c>
      <c r="D9" t="inlineStr">
        <is>
          <t>2.5 kg × 4</t>
        </is>
      </c>
      <c r="E9" s="2" t="n">
        <v>640</v>
      </c>
      <c r="F9" s="3" t="n">
        <v>62</v>
      </c>
      <c r="G9" s="3" t="n">
        <v>66</v>
      </c>
      <c r="H9" s="3" t="n">
        <v>75</v>
      </c>
      <c r="I9" s="3" t="n">
        <v>71</v>
      </c>
      <c r="J9" s="3" t="n">
        <v>68</v>
      </c>
      <c r="K9" s="3" t="n">
        <v>65</v>
      </c>
      <c r="L9" s="3" t="n">
        <v>67</v>
      </c>
      <c r="M9" s="3" t="n">
        <v>61</v>
      </c>
      <c r="N9" s="3" t="n">
        <v>58</v>
      </c>
      <c r="O9" s="3" t="n">
        <v>60</v>
      </c>
      <c r="P9" s="3" t="n">
        <v>62</v>
      </c>
      <c r="Q9" s="3" t="n">
        <v>59</v>
      </c>
      <c r="R9" s="3" t="n">
        <v>110</v>
      </c>
      <c r="S9" s="3" t="n">
        <v>0</v>
      </c>
      <c r="T9" t="n">
        <v>21</v>
      </c>
      <c r="U9" t="inlineStr">
        <is>
          <t>Pacific Frozen Foods</t>
        </is>
      </c>
    </row>
    <row r="10">
      <c r="A10" t="inlineStr">
        <is>
          <t>KLD-1470</t>
        </is>
      </c>
      <c r="B10" t="inlineStr">
        <is>
          <t>Frozen salmon portions</t>
        </is>
      </c>
      <c r="C10" t="inlineStr">
        <is>
          <t>Frozen</t>
        </is>
      </c>
      <c r="D10" t="inlineStr">
        <is>
          <t>1 kg × 10</t>
        </is>
      </c>
      <c r="E10" s="2" t="n">
        <v>6400</v>
      </c>
      <c r="F10" s="3" t="n">
        <v>90</v>
      </c>
      <c r="G10" s="3" t="n">
        <v>97</v>
      </c>
      <c r="H10" s="3" t="n">
        <v>112</v>
      </c>
      <c r="I10" s="3" t="n">
        <v>106</v>
      </c>
      <c r="J10" s="3" t="n">
        <v>101</v>
      </c>
      <c r="K10" s="3" t="n">
        <v>96</v>
      </c>
      <c r="L10" s="3" t="n">
        <v>99</v>
      </c>
      <c r="M10" s="3" t="n">
        <v>90</v>
      </c>
      <c r="N10" s="3" t="n">
        <v>85</v>
      </c>
      <c r="O10" s="3" t="n">
        <v>88</v>
      </c>
      <c r="P10" s="3" t="n">
        <v>91</v>
      </c>
      <c r="Q10" s="3" t="n">
        <v>87</v>
      </c>
      <c r="R10" s="3" t="n">
        <v>45</v>
      </c>
      <c r="S10" s="3" t="n">
        <v>150</v>
      </c>
      <c r="T10" t="n">
        <v>21</v>
      </c>
      <c r="U10" t="inlineStr">
        <is>
          <t>Nordic Blue Seafood</t>
        </is>
      </c>
      <c r="V10" t="inlineStr">
        <is>
          <t>PO due 22 Oct</t>
        </is>
      </c>
    </row>
    <row r="11">
      <c r="A11" t="inlineStr">
        <is>
          <t>KLD-2101</t>
        </is>
      </c>
      <c r="B11" t="inlineStr">
        <is>
          <t>Fresh milk</t>
        </is>
      </c>
      <c r="C11" t="inlineStr">
        <is>
          <t>Chilled</t>
        </is>
      </c>
      <c r="D11" t="inlineStr">
        <is>
          <t>2 L × 6</t>
        </is>
      </c>
      <c r="E11" s="2" t="n">
        <v>498</v>
      </c>
      <c r="F11" s="3" t="n">
        <v>310</v>
      </c>
      <c r="G11" s="3" t="n">
        <v>325</v>
      </c>
      <c r="H11" s="3" t="n">
        <v>362</v>
      </c>
      <c r="I11" s="3" t="n">
        <v>347</v>
      </c>
      <c r="J11" s="3" t="n">
        <v>333</v>
      </c>
      <c r="K11" s="3" t="n">
        <v>320</v>
      </c>
      <c r="L11" s="3" t="n">
        <v>330</v>
      </c>
      <c r="M11" s="3" t="n">
        <v>300</v>
      </c>
      <c r="N11" s="3" t="n">
        <v>285</v>
      </c>
      <c r="O11" s="3" t="n">
        <v>293</v>
      </c>
      <c r="P11" s="3" t="n">
        <v>302</v>
      </c>
      <c r="Q11" s="3" t="n">
        <v>290</v>
      </c>
      <c r="R11" s="3" t="n">
        <v>16</v>
      </c>
      <c r="S11" s="3" t="n">
        <v>0</v>
      </c>
      <c r="T11" t="n">
        <v>2</v>
      </c>
      <c r="U11" t="inlineStr">
        <is>
          <t>Bang Phra Dairy</t>
        </is>
      </c>
    </row>
    <row r="12">
      <c r="A12" t="inlineStr">
        <is>
          <t>KLD-2150</t>
        </is>
      </c>
      <c r="B12" t="inlineStr">
        <is>
          <t>Salted butter</t>
        </is>
      </c>
      <c r="C12" t="inlineStr">
        <is>
          <t>Chilled</t>
        </is>
      </c>
      <c r="D12" t="inlineStr">
        <is>
          <t>227 g × 40</t>
        </is>
      </c>
      <c r="E12" s="2" t="n">
        <v>3680</v>
      </c>
      <c r="F12" s="3" t="n">
        <v>12</v>
      </c>
      <c r="G12" s="3" t="n">
        <v>13</v>
      </c>
      <c r="H12" s="3" t="n">
        <v>15</v>
      </c>
      <c r="I12" s="3" t="n">
        <v>14</v>
      </c>
      <c r="J12" s="3" t="n">
        <v>13</v>
      </c>
      <c r="K12" s="3" t="n">
        <v>12</v>
      </c>
      <c r="L12" s="3" t="n">
        <v>13</v>
      </c>
      <c r="M12" s="3" t="n">
        <v>12</v>
      </c>
      <c r="N12" s="3" t="n">
        <v>11</v>
      </c>
      <c r="O12" s="3" t="n">
        <v>11</v>
      </c>
      <c r="P12" s="3" t="n">
        <v>12</v>
      </c>
      <c r="Q12" s="3" t="n">
        <v>11</v>
      </c>
      <c r="R12" s="3" t="n">
        <v>24</v>
      </c>
      <c r="S12" s="3" t="n">
        <v>0</v>
      </c>
      <c r="T12" t="n">
        <v>14</v>
      </c>
      <c r="U12" t="inlineStr">
        <is>
          <t>Pacific Frozen Foods</t>
        </is>
      </c>
    </row>
    <row r="13">
      <c r="A13" t="inlineStr">
        <is>
          <t>KLD-2180</t>
        </is>
      </c>
      <c r="B13" t="inlineStr">
        <is>
          <t>Orange juice</t>
        </is>
      </c>
      <c r="C13" t="inlineStr">
        <is>
          <t>Chilled</t>
        </is>
      </c>
      <c r="D13" t="inlineStr">
        <is>
          <t>1 L × 12</t>
        </is>
      </c>
      <c r="E13" s="2" t="n">
        <v>684</v>
      </c>
      <c r="F13" s="3" t="n">
        <v>55</v>
      </c>
      <c r="G13" s="3" t="n">
        <v>58</v>
      </c>
      <c r="H13" s="3" t="n">
        <v>65</v>
      </c>
      <c r="I13" s="3" t="n">
        <v>62</v>
      </c>
      <c r="J13" s="3" t="n">
        <v>60</v>
      </c>
      <c r="K13" s="3" t="n">
        <v>57</v>
      </c>
      <c r="L13" s="3" t="n">
        <v>59</v>
      </c>
      <c r="M13" s="3" t="n">
        <v>54</v>
      </c>
      <c r="N13" s="3" t="n">
        <v>51</v>
      </c>
      <c r="O13" s="3" t="n">
        <v>52</v>
      </c>
      <c r="P13" s="3" t="n">
        <v>54</v>
      </c>
      <c r="Q13" s="3" t="n">
        <v>52</v>
      </c>
      <c r="R13" s="3" t="n">
        <v>20</v>
      </c>
      <c r="S13" s="3" t="n">
        <v>0</v>
      </c>
      <c r="T13" t="n">
        <v>3</v>
      </c>
      <c r="U13" t="inlineStr">
        <is>
          <t>Bang Phra Dairy</t>
        </is>
      </c>
    </row>
    <row r="14">
      <c r="A14" t="inlineStr">
        <is>
          <t>KLD-2207</t>
        </is>
      </c>
      <c r="B14" t="inlineStr">
        <is>
          <t>Coconut water</t>
        </is>
      </c>
      <c r="C14" t="inlineStr">
        <is>
          <t>Chilled</t>
        </is>
      </c>
      <c r="D14" t="inlineStr">
        <is>
          <t>330 ml × 24</t>
        </is>
      </c>
      <c r="E14" s="2" t="n">
        <v>432</v>
      </c>
      <c r="F14" s="3" t="n">
        <v>112</v>
      </c>
      <c r="G14" s="3" t="n">
        <v>118</v>
      </c>
      <c r="H14" s="3" t="n">
        <v>131</v>
      </c>
      <c r="I14" s="3" t="n">
        <v>127</v>
      </c>
      <c r="J14" s="3" t="n">
        <v>122</v>
      </c>
      <c r="K14" s="3" t="n">
        <v>136</v>
      </c>
      <c r="L14" s="3" t="n">
        <v>143</v>
      </c>
      <c r="M14" s="3" t="n">
        <v>129</v>
      </c>
      <c r="N14" s="3" t="n">
        <v>2904</v>
      </c>
      <c r="O14" s="3" t="n">
        <v>2976</v>
      </c>
      <c r="P14" s="3" t="n">
        <v>2856</v>
      </c>
      <c r="Q14" s="3" t="n">
        <v>115</v>
      </c>
      <c r="R14" s="3" t="n">
        <v>85</v>
      </c>
      <c r="S14" s="3" t="n">
        <v>0</v>
      </c>
      <c r="T14" t="n">
        <v>7</v>
      </c>
      <c r="U14" t="inlineStr">
        <is>
          <t>Tropical Coco</t>
        </is>
      </c>
    </row>
    <row r="15">
      <c r="A15" t="inlineStr">
        <is>
          <t>KLD-3305</t>
        </is>
      </c>
      <c r="B15" t="inlineStr">
        <is>
          <t>Cola</t>
        </is>
      </c>
      <c r="C15" t="inlineStr">
        <is>
          <t>Ambient</t>
        </is>
      </c>
      <c r="D15" t="inlineStr">
        <is>
          <t>325 ml × 24</t>
        </is>
      </c>
      <c r="E15" s="2" t="n">
        <v>312</v>
      </c>
      <c r="F15" s="3" t="n">
        <v>440</v>
      </c>
      <c r="G15" s="3" t="n">
        <v>465</v>
      </c>
      <c r="H15" s="3" t="n">
        <v>530</v>
      </c>
      <c r="I15" s="3" t="n">
        <v>505</v>
      </c>
      <c r="J15" s="3" t="n">
        <v>480</v>
      </c>
      <c r="K15" s="3" t="n">
        <v>462</v>
      </c>
      <c r="L15" s="3" t="n">
        <v>478</v>
      </c>
      <c r="M15" s="3" t="n">
        <v>428</v>
      </c>
      <c r="N15" s="3" t="n">
        <v>405</v>
      </c>
      <c r="O15" s="3" t="n">
        <v>415</v>
      </c>
      <c r="P15" s="3" t="n">
        <v>432</v>
      </c>
      <c r="Q15" s="3" t="n">
        <v>410</v>
      </c>
      <c r="R15" s="3" t="n">
        <v>60</v>
      </c>
      <c r="S15" s="3" t="n">
        <v>0</v>
      </c>
      <c r="T15" t="n">
        <v>5</v>
      </c>
      <c r="U15" t="inlineStr">
        <is>
          <t>Eastern Beverage Distributors</t>
        </is>
      </c>
    </row>
    <row r="16">
      <c r="A16" t="inlineStr">
        <is>
          <t>KLD-3310</t>
        </is>
      </c>
      <c r="B16" t="inlineStr">
        <is>
          <t>Local lager</t>
        </is>
      </c>
      <c r="C16" t="inlineStr">
        <is>
          <t>Ambient</t>
        </is>
      </c>
      <c r="D16" t="inlineStr">
        <is>
          <t>320 ml × 24</t>
        </is>
      </c>
      <c r="E16" s="2" t="n">
        <v>840</v>
      </c>
      <c r="F16" s="3" t="n">
        <v>1090</v>
      </c>
      <c r="G16" s="3" t="n">
        <v>1150</v>
      </c>
      <c r="H16" s="3" t="n">
        <v>3400</v>
      </c>
      <c r="I16" s="3" t="n">
        <v>1240</v>
      </c>
      <c r="J16" s="3" t="n">
        <v>1170</v>
      </c>
      <c r="K16" s="3" t="n">
        <v>1140</v>
      </c>
      <c r="L16" s="3" t="n">
        <v>1290</v>
      </c>
      <c r="M16" s="3" t="n">
        <v>1080</v>
      </c>
      <c r="N16" s="3" t="n">
        <v>1010</v>
      </c>
      <c r="O16" s="3" t="n">
        <v>1040</v>
      </c>
      <c r="P16" s="3" t="n">
        <v>1060</v>
      </c>
      <c r="Q16" s="3" t="n">
        <v>1050</v>
      </c>
      <c r="R16" s="3" t="n">
        <v>300</v>
      </c>
      <c r="S16" s="3" t="n">
        <v>600</v>
      </c>
      <c r="T16" t="n">
        <v>5</v>
      </c>
      <c r="U16" t="inlineStr">
        <is>
          <t>Eastern Beverage Distributors</t>
        </is>
      </c>
      <c r="V16" t="inlineStr">
        <is>
          <t>Dec 2025 New Year promotion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30" customWidth="1" min="3" max="3"/>
    <col width="48" customWidth="1" min="4" max="4"/>
  </cols>
  <sheetData>
    <row r="1">
      <c r="A1" s="4" t="inlineStr">
        <is>
          <t>Reorder point worked example: KLD-1001 Drinking water 600 ml × 24</t>
        </is>
      </c>
    </row>
    <row r="3">
      <c r="A3" s="1" t="inlineStr">
        <is>
          <t>Item</t>
        </is>
      </c>
      <c r="B3" s="1" t="inlineStr">
        <is>
          <t>Value</t>
        </is>
      </c>
      <c r="C3" s="1" t="inlineStr">
        <is>
          <t>Excel formula in column B</t>
        </is>
      </c>
      <c r="D3" s="1" t="inlineStr">
        <is>
          <t>Note</t>
        </is>
      </c>
    </row>
    <row r="4">
      <c r="A4" t="inlineStr">
        <is>
          <t>Average daily demand (cases)</t>
        </is>
      </c>
      <c r="B4" t="n">
        <v>40</v>
      </c>
      <c r="D4" t="inlineStr">
        <is>
          <t>Input</t>
        </is>
      </c>
    </row>
    <row r="5">
      <c r="A5" t="inlineStr">
        <is>
          <t>Daily demand standard deviation σ (cases)</t>
        </is>
      </c>
      <c r="B5" t="n">
        <v>12</v>
      </c>
      <c r="D5" t="inlineStr">
        <is>
          <t>Input. Daily, to match the lead time in days</t>
        </is>
      </c>
    </row>
    <row r="6">
      <c r="A6" t="inlineStr">
        <is>
          <t>Lead time (days)</t>
        </is>
      </c>
      <c r="B6" t="n">
        <v>9</v>
      </c>
      <c r="D6" t="inlineStr">
        <is>
          <t>Input</t>
        </is>
      </c>
    </row>
    <row r="7">
      <c r="A7" t="inlineStr">
        <is>
          <t>Service level</t>
        </is>
      </c>
      <c r="B7" s="5" t="n">
        <v>0.95</v>
      </c>
      <c r="D7" t="inlineStr">
        <is>
          <t>Input</t>
        </is>
      </c>
    </row>
    <row r="8">
      <c r="A8" t="inlineStr">
        <is>
          <t>z for 95% service level</t>
        </is>
      </c>
      <c r="B8" s="6" t="n">
        <v>1.645</v>
      </c>
      <c r="D8" t="inlineStr">
        <is>
          <t>Input. =NORM.S.INV(0.95) gives 1.6449</t>
        </is>
      </c>
    </row>
    <row r="9">
      <c r="A9" t="inlineStr">
        <is>
          <t>Safety stock, exact (cases)</t>
        </is>
      </c>
      <c r="B9" s="7">
        <f>B8*B5*SQRT(B6)</f>
        <v>59.22</v>
      </c>
      <c r="C9" t="inlineStr">
        <is>
          <t>=B8*B5*SQRT(B6)</t>
        </is>
      </c>
      <c r="D9" t="inlineStr">
        <is>
          <t>1.645 × 12 × √9 = 59.22</t>
        </is>
      </c>
    </row>
    <row r="10">
      <c r="A10" t="inlineStr">
        <is>
          <t>Safety stock, rounded up (cases)</t>
        </is>
      </c>
      <c r="B10">
        <f>ROUNDUP(B9,0)</f>
        <v>60</v>
      </c>
      <c r="C10" t="inlineStr">
        <is>
          <t>=ROUNDUP(B9,0)</t>
        </is>
      </c>
      <c r="D10" t="inlineStr">
        <is>
          <t>Round up to whole cases</t>
        </is>
      </c>
    </row>
    <row r="11">
      <c r="A11" t="inlineStr">
        <is>
          <t>Demand during lead time (cases)</t>
        </is>
      </c>
      <c r="B11">
        <f>B4*B6</f>
        <v>360</v>
      </c>
      <c r="C11" t="inlineStr">
        <is>
          <t>=B4*B6</t>
        </is>
      </c>
      <c r="D11" t="inlineStr">
        <is>
          <t>40 × 9</t>
        </is>
      </c>
    </row>
    <row r="12">
      <c r="A12" s="8" t="inlineStr">
        <is>
          <t>Reorder point (cases)</t>
        </is>
      </c>
      <c r="B12" s="8">
        <f>B11+B10</f>
        <v>420</v>
      </c>
      <c r="C12" t="inlineStr">
        <is>
          <t>=B11+B10</t>
        </is>
      </c>
      <c r="D12" t="inlineStr">
        <is>
          <t>Order when stock falls to this level</t>
        </is>
      </c>
    </row>
    <row r="14">
      <c r="A14" s="8" t="inlineStr">
        <is>
          <t>TRAP: monthly σ used with a lead time in days</t>
        </is>
      </c>
    </row>
    <row r="15">
      <c r="A15" t="inlineStr">
        <is>
          <t>Monthly σ (about 12 × √30)</t>
        </is>
      </c>
      <c r="B15">
        <f>ROUND(B5*SQRT(30),0)</f>
        <v>66</v>
      </c>
      <c r="C15" t="inlineStr">
        <is>
          <t>=ROUND(B5*SQRT(30),0)</t>
        </is>
      </c>
      <c r="D15" t="inlineStr">
        <is>
          <t>Monthly figure, wrong unit for a 9-day lead time</t>
        </is>
      </c>
    </row>
    <row r="16">
      <c r="A16" t="inlineStr">
        <is>
          <t>Wrong safety stock (cases)</t>
        </is>
      </c>
      <c r="B16">
        <f>ROUNDUP(B8*B15*SQRT(B6),0)</f>
        <v>326</v>
      </c>
      <c r="C16" t="inlineStr">
        <is>
          <t>=ROUNDUP(B8*B15*SQRT(B6),0)</t>
        </is>
      </c>
      <c r="D16" t="inlineStr">
        <is>
          <t>About 5.5 times too much stock</t>
        </is>
      </c>
    </row>
    <row r="17">
      <c r="A17" t="inlineStr">
        <is>
          <t>Wrong reorder point (cases)</t>
        </is>
      </c>
      <c r="B17">
        <f>B11+B16</f>
        <v>686</v>
      </c>
      <c r="C17" t="inlineStr">
        <is>
          <t>=B11+B16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KLD workshop trainer</dc:creator>
  <dc:title xmlns:dc="http://purl.org/dc/elements/1.1/">KLD stock review Oct 2026 (fictional)</dc:title>
  <dcterms:created xmlns:dcterms="http://purl.org/dc/terms/" xmlns:xsi="http://www.w3.org/2001/XMLSchema-instance" xsi:type="dcterms:W3CDTF">2026-10-09T09:00:00Z</dcterms:created>
  <dcterms:modified xmlns:dcterms="http://purl.org/dc/terms/" xmlns:xsi="http://www.w3.org/2001/XMLSchema-instance" xsi:type="dcterms:W3CDTF">2026-10-09T09:00:00Z</dcterms:modified>
</cp:coreProperties>
</file>